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cqeta\MotoLogger\"/>
    </mc:Choice>
  </mc:AlternateContent>
  <xr:revisionPtr revIDLastSave="0" documentId="13_ncr:1_{8874D066-06BD-4E82-9982-3007A5598E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íle a milníky" sheetId="1" r:id="rId1"/>
    <sheet name="Harmonogram projektu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4" i="2" l="1"/>
</calcChain>
</file>

<file path=xl/sharedStrings.xml><?xml version="1.0" encoding="utf-8"?>
<sst xmlns="http://schemas.openxmlformats.org/spreadsheetml/2006/main" count="181" uniqueCount="158">
  <si>
    <t>STRUKTURA CÍLŮ A MILNÍKŮ</t>
  </si>
  <si>
    <t>Nejdříve si stanovte hlavní cíl, potom jej rozdělte na dílčí cíle a kontrolní milníky.</t>
  </si>
  <si>
    <t>Hlavní cíl / Fáze</t>
  </si>
  <si>
    <t>Dílčí cíl</t>
  </si>
  <si>
    <t>Konkrétní úkol</t>
  </si>
  <si>
    <t>Jak poznám, že je hotovo?</t>
  </si>
  <si>
    <t>Termín</t>
  </si>
  <si>
    <t>Milník</t>
  </si>
  <si>
    <t>Stav</t>
  </si>
  <si>
    <t>Fáze 1: Hardware a mechanika</t>
  </si>
  <si>
    <t>1.1 Výroba a osazení PCB</t>
  </si>
  <si>
    <t>Finální kontrola Gerber dat a kusovníku (BOM) desky RejsaCAN-ESP32-S3 a zadání výroby se SMT osazením u JLCPCB.</t>
  </si>
  <si>
    <t>Potvrzená výroba bez DRC chyb, doručení osazených desek a vizuální kontrola pájení.</t>
  </si>
  <si>
    <t>8. 11. 2026 (T1)</t>
  </si>
  <si>
    <t>Ne</t>
  </si>
  <si>
    <t>V řešení</t>
  </si>
  <si>
    <t>1.2 Ochranné pouzdro a kabeláž</t>
  </si>
  <si>
    <t>Parametrický 3D návrh odolného pouzdra (PETG/ABS) s tlumením vibrací, tisk a kompletace kabeláže pro motocyklový OBD-II konektor.</t>
  </si>
  <si>
    <t>Deska bezpečně lícuje v pouzdře s vyvedenými konektory, kabeláž odpovídá pinoutu motocyklu.</t>
  </si>
  <si>
    <t>15. 11. 2026 (T2)</t>
  </si>
  <si>
    <t>Plánováno</t>
  </si>
  <si>
    <t>1.3 Oživení HW &amp; 0 mA Auto-Shutdown</t>
  </si>
  <si>
    <t>Proměření napájecích větví (12V na 3.3V buck měnič), otestování hardware power-latch obvodu (GPIO17) a zkouška nulového klidového odběru.</t>
  </si>
  <si>
    <t>Deska stabilně běží na 12V, po shození latch klesne odběr z baterie na 0,00 mA (laboratorní měření multimetrem).</t>
  </si>
  <si>
    <t>22. 11. 2026 (T3)</t>
  </si>
  <si>
    <t>M1 – Funkční HW s 0 mA odběrem</t>
  </si>
  <si>
    <t>Fáze 2: Vývoj firmwaru (C++)</t>
  </si>
  <si>
    <t>2.1 Senzorická fúze IMU (100 Hz)</t>
  </si>
  <si>
    <t>Implementace BNO085 Game Rotation Vector (I2C 400 kHz, INT GPIO12) v samostatném FreeRTOS vláknu Task_IMU na Core 1 s výpočtem Roll/Pitch.</t>
  </si>
  <si>
    <t>Stabilní čtení úhlů náklonu a klopení na 100 Hz na sériovém terminálu bez driftu a bez zkreslení bočním zrychlením.</t>
  </si>
  <si>
    <t>6. 12. 2026 (T5)</t>
  </si>
  <si>
    <t>2.2 TWAI CAN engine &amp; MicroSD logger</t>
  </si>
  <si>
    <t>Konfigurace TWAI řadiče na 500 kbps (Core 0), parsování ECU zpráv (RPM, TPS, rychlost, kvalt) a ukládání do 32 KB blokového bufferu na SD kartu (Core 1).</t>
  </si>
  <si>
    <t>Synchronizovaný zápis CAN dat a IMU telemetrie na SD kartu v CSV formátu bez zahazování rámců (zero frame drop).</t>
  </si>
  <si>
    <t>20. 12. 2026 (T7)</t>
  </si>
  <si>
    <t>M2 – Běžící dual-core firmware</t>
  </si>
  <si>
    <t>2.3 Binární BLE stream &amp; NVS kalibrace</t>
  </si>
  <si>
    <t>Vývoj BLE GATT serveru (NimBLE) s 25Hz notifikacemi (28B binární paket) a obsluhou řídicích příkazů 0x01 (Zero-Tare) a 0x02 (Offset) s uložením do NVS.</t>
  </si>
  <si>
    <t>Telefon přijímá 28B pakety s periodou 40 ms; hodnota offsetu zůstává trvale uložena v paměti ESP32 i po vypnutí napájení.</t>
  </si>
  <si>
    <t>3. 1. 2027 (T9)</t>
  </si>
  <si>
    <t>Fáze 3: Mobilní aplikace (Flutter)</t>
  </si>
  <si>
    <t>3.1 Apple HIG HUD &amp; G-G diagram</t>
  </si>
  <si>
    <t>Tvorba hlavního telemetrického HUDu ve Flutteru (živý náklonový oblouk s dynamickými pásmy, 1.5G G-G friction circle, otáčkoměr, ošetření výpadků BLE).</t>
  </si>
  <si>
    <t>Plynulé 60 FPS zobrazení reagující na náklon v reálném čase, striktní dodržení zásad Apple Design System a rider-ergonomie.</t>
  </si>
  <si>
    <t>17. 1. 2027 (T11)</t>
  </si>
  <si>
    <t>3.2 Smart Tank Calibration &amp; SQLite</t>
  </si>
  <si>
    <t>Implementace kalibrace přiložením telefonu na víčko nádrže se žlutou vodováhou (ConstructionSpiritLevel), auto-lockem (&gt;5 km/h) a ukládáním do SQLite.</t>
  </si>
  <si>
    <t>Uživatel zvládne zkalibrovat náklon na bočním stojánku během 20 s; jízdy se spolehlivě ukládají do lokální databáze.</t>
  </si>
  <si>
    <t>31. 1. 2027 (T13)</t>
  </si>
  <si>
    <t>M3 – Kompletní mobilní aplikace</t>
  </si>
  <si>
    <t>3.3 MoTeC i2 CSV export &amp; Android Auto</t>
  </si>
  <si>
    <t>Modul exportu do standardu MoTeC i2 a GPX tras, implementace zjednodušeného dashboardu pro Android Auto (CarAppService) pro zrcadlení na motodispleje.</t>
  </si>
  <si>
    <t>Vygenerované CSV se bezchybně otevře a zanalyzuje v MoTeC i2 Pro; fungující zobrazení v Android Auto simulátoru (DHU).</t>
  </si>
  <si>
    <t>14. 2. 2027 (T15)</t>
  </si>
  <si>
    <t>Fáze 4: Integrace a dokumentace</t>
  </si>
  <si>
    <t>4.1 Montáž a testování v provozu</t>
  </si>
  <si>
    <t>Instalace jednotky na motocykl, kalibrace nádrže na stojánku a série testovacích jízd v reálném silničním provozu pro ověření přesnosti dat a odolnosti vůči vibracím.</t>
  </si>
  <si>
    <t>Minimálně 3 zaznamenané ucelené jízdy bez chyb v datech a bez jakéhokoliv poškození optiky fotoaparátu telefonu.</t>
  </si>
  <si>
    <t>21. 2. 2027 (T16)</t>
  </si>
  <si>
    <t>M4 – Ověřený funkční prototyp v provozu</t>
  </si>
  <si>
    <t>4.2 Technická dokumentace (1. verze)</t>
  </si>
  <si>
    <t>Vypracování kompletní 1. verze technické dokumentace projektu (min. 25 stran) obsahující blokové schéma, schéma zapojení, popis algoritmů a výsledky měření.</t>
  </si>
  <si>
    <t>28. 2. 2027 (T17)</t>
  </si>
  <si>
    <t>M5 – 1. verze technické dokumentace</t>
  </si>
  <si>
    <t>Grafické zpracování prezentačního plakátu formátu A1, příprava interaktivní prezentace s fyzickým modelem a úspěšná finální obhajoba technického projektu.</t>
  </si>
  <si>
    <t>Vytištěný poster A1, nachystaná prezentace se živým demem systému a úspěšná obhajoba s hodnocením výborně.</t>
  </si>
  <si>
    <t>18. 4. 2027 (Březen–Duben)</t>
  </si>
  <si>
    <t>M6 – Úspěšná obhajoba projektu</t>
  </si>
  <si>
    <t xml:space="preserve">                                                                         ČASOVÝ HARMONOGRAM TECHNICKÉHO PROJEKTU</t>
  </si>
  <si>
    <t>Název projektu:</t>
  </si>
  <si>
    <t>MotoLogger</t>
  </si>
  <si>
    <t>Jméno:</t>
  </si>
  <si>
    <t>Fáze / Dílčí cíl</t>
  </si>
  <si>
    <t>Konkrétní úkol (SMART cíl)</t>
  </si>
  <si>
    <t>Výstup / Kontrola</t>
  </si>
  <si>
    <t>Odhad času (h)</t>
  </si>
  <si>
    <t>T1
2. 11. – 8. 11.</t>
  </si>
  <si>
    <t>1. Hardware / Příprava výroby a komponent</t>
  </si>
  <si>
    <t>Provést revizi schématu a Gerber podkladů RejsaCAN v3.4 v KiCADu, zkontrolovat dostupnost součástek na LCSC (ESP32-S3, BNO085, SN65HVD230) a odeslat objednávku PCB + SMT montáže u JLCPCB do 8. 11.</t>
  </si>
  <si>
    <t>Objednávka potvrzena výrobcem, výrobní podklady bez chyb (DRC pass), expedice z výroby.</t>
  </si>
  <si>
    <t>T2
9. 11. – 15. 11.</t>
  </si>
  <si>
    <t>1. Hardware / Mechanická konstrukce pouzdra</t>
  </si>
  <si>
    <t>V CAD softwaru navrhnout 3D model ochranného pouzdra jednotky s průchodkami pro kabeláž, montážními úchyty a prostorem pro tlumení vibrací, provést první testovací tisk z PETG.</t>
  </si>
  <si>
    <t>Hotový 3D model (.step/.stl) a zkušební výtisk pouzdra, ověření rozměrů a lícování konektorů.</t>
  </si>
  <si>
    <t>T3
16. 11. – 22. 11.</t>
  </si>
  <si>
    <t>1. Hardware / Oživení a kontrola napájení</t>
  </si>
  <si>
    <t>Převzít osazené DPS, proměřit napájecí větve (12V vstup, 3.3V buck měnič, MT9700 spínač), ověřit funkci 0 mA power latch obvodu na zkušebním 12V zdroji.</t>
  </si>
  <si>
    <t>Protokol z oživení: stabilní 3.3V při zátěži, latch spolehlivě drží a po shození logické úrovně klesne odběr na 0,00 mA (Milník M1).</t>
  </si>
  <si>
    <t>T4
23. 11. – 29. 11.</t>
  </si>
  <si>
    <t>2. Firmware / Základ FreeRTOS a I2C komunikace</t>
  </si>
  <si>
    <t>V PlatformIO inicializovat projekt pro ESP32-S3 se dvěma FreeRTOS jádry a napsat obsluhu I2C sběrnice (400 kHz) pro BNO085 s hardwarovým přerušením H_INTN na GPIO12.</t>
  </si>
  <si>
    <t>ESP32 detekuje BNO085 na I2C sběrnici a v Core 1 běží stabilní vlákno Task_IMU generující logy do sériového terminálu.</t>
  </si>
  <si>
    <t>T5
30. 11. – 6. 12.</t>
  </si>
  <si>
    <t>2. Firmware / Senzorická fúze 100 Hz náklonu</t>
  </si>
  <si>
    <t>Implementovat příjem a zpracování paketů Game Rotation Vector z BNO085 na frekvenci 100 Hz, přepočet kvaternionů na roll/pitch a odfiltrování vibrací motoru.</t>
  </si>
  <si>
    <t>Výstup úhlu náklonu na sériové lince s frekvencí 100 Hz bez zpoždění a bez driftu při statickém i dynamickém náklonu.</t>
  </si>
  <si>
    <t>T6
7. 12. – 13. 12.</t>
  </si>
  <si>
    <t>2. Firmware / TWAI CAN engine (500 kbps)</t>
  </si>
  <si>
    <t>Nakonfigurovat TWAI řadič ESP32-S3 na rychlost 500 kbps, naprogramovat neblokující přijímací frontu v Task_CAN na Core 0 a parsování PID zpráv z motocyklové ECU (RPM, rychlost, TPS).</t>
  </si>
  <si>
    <t>Ověřený příjem CAN zpráv na testovacím CAN přípravku bez chybových stavů (zero bus errors/overruns).</t>
  </si>
  <si>
    <t>T7
14. 12. – 20. 12.</t>
  </si>
  <si>
    <t>2. Firmware / 0 mA Auto-Shutdown &amp; MicroSD záznam</t>
  </si>
  <si>
    <t>Doplnit logiku automatického vypnutí (15s odpočet po poklesu napětí na SENSE_V_ANA pod 12.8V) a implementovat SPI zápis telemetrie do 32KB kruhového bufferu na MicroSD kartu v Task_Storage.</t>
  </si>
  <si>
    <t>Jednotka se sama vypne 15 s po odpojení nabíjení, na kartě vznikne čitelný CSV soubor LOG_0001.CSV s daty (Milník M2).</t>
  </si>
  <si>
    <t>T8
21. 12. – 27. 12.</t>
  </si>
  <si>
    <t>2. Firmware / Vánoční rezerva a kontrola stability</t>
  </si>
  <si>
    <t>Vánoční období s odlehčeným režimem: provést dlouhodobý zátěžový test běžícího firmwaru na stole (stress-test stability paměti a FreeRTOS heapu po dobu 12 hodin) a studium BLE GATT specifikace.</t>
  </si>
  <si>
    <t>Log z 12h testu bez pádu či úniku paměti (zero memory leaks), návrh struktury BLE GATT služeb.</t>
  </si>
  <si>
    <t>T9
28. 12. – 3. 1.</t>
  </si>
  <si>
    <t>2. Firmware / Nízko-latenční binární BLE server</t>
  </si>
  <si>
    <t>Naprogramovat BLE GATT server (NimBLE) na Core 0 vysílající 25Hz notifikace s 28bajtovým binárním paketem telemetrie a implementovat obsluhu zápisu řídicích příkazů 0x01 (Zero-Tare) a 0x02 (Offset).</t>
  </si>
  <si>
    <t>Mobilní telefon přijímá 28B pakety s periodou 40 ms; příkaz 0x02 uloží offset náklonu do NVS paměti ESP32.</t>
  </si>
  <si>
    <t>T10
4. 1. – 10. 1.</t>
  </si>
  <si>
    <t>3. Mobilní aplikace / Architektura a BLE servis</t>
  </si>
  <si>
    <t>Ve Flutter projektu vytvořit architekturu aplikace dle Apple HIG, implementovat skenování a automatické párování přes flutter_blue_plus a parsování binárního 28B paketu do modelu TelemetrySample.</t>
  </si>
  <si>
    <t>Aplikace se automaticky spojí s MotoLoggerem a na obrazovce vypisuje surová příchozí data bez zpoždění.</t>
  </si>
  <si>
    <t>T11
11. 1. – 17. 1.</t>
  </si>
  <si>
    <t>3. Mobilní aplikace / Telemetrický HUD &amp; Náklonový oblouk</t>
  </si>
  <si>
    <t>Vytvořit hlavní obrazovku Jízda s dynamickým náklonovým obloukem (-60° až +60°), barevnými zónami náklonu, zobrazením em-dash při výpadku spojení a G-G diagramem přetížení (1.5G).</t>
  </si>
  <si>
    <t>Plně plynulý 60 FPS Apple UI dashboard reagující na reálné náklony a zrychlení z BLE streamu.</t>
  </si>
  <si>
    <t>T12
18. 1. – 24. 1.</t>
  </si>
  <si>
    <t>3. Mobilní aplikace / Smart Tank Calibration</t>
  </si>
  <si>
    <t>Naprogramovat kalibrační obrazovku s žlutou stavební vodováhou (ConstructionSpiritLevel), animací motocyklu a výpočtem úhlového offsetu víčka nádrže s odesláním příkazu 0x02 do ESP32.</t>
  </si>
  <si>
    <t>Uživatel zvládne kalibraci na stojánku do 20 sekund, vypočtený offset se propíše do firmware i do lokálních preferencí.</t>
  </si>
  <si>
    <t>T13
25. 1. – 31. 1.</t>
  </si>
  <si>
    <t>3. Mobilní aplikace / Offline SQLite &amp; Pololetní rezerva</t>
  </si>
  <si>
    <t>Integrovat sqflite pro ukládání relací, GPS trajektorie a maximálních dosažených hodnot, vyřešit automatický zámek obrazovky při jízdě (&gt; 5 km/h); časová rezerva na uzavření 1. pololetí.</t>
  </si>
  <si>
    <t>Historie jízd se spolehlivě ukládá do lokální SQLite databáze a funguje zobrazení detailu proběhlé jízdy (Milník M3).</t>
  </si>
  <si>
    <t>T14
1. 2. – 7. 2.</t>
  </si>
  <si>
    <t>3. Mobilní aplikace / Export do MoTeC i2 a GPX</t>
  </si>
  <si>
    <t>Implementovat exportní modul generující standardizované CSV kompatibilní s analytickým softwarem MoTeC i2 Pro (správné hlavičky kanálů) a GPX soubory s GPS body pro zobrazení v mapách.</t>
  </si>
  <si>
    <t>Vygenerované CSV se bezchybně načte a vykreslí telemetrii v programu MoTeC i2; GPX se otevře v Google Earth.</t>
  </si>
  <si>
    <t>T15
8. 2. – 14. 2.</t>
  </si>
  <si>
    <t>3. Mobilní aplikace / Projekce Android Auto</t>
  </si>
  <si>
    <t>Implementovat Android Auto CarAppService pro zrcadlení zjednodušeného telemetrického dashboardu s velkými ukazateli náklonu, otáček a zařazeného stupně na motocyklové displeje.</t>
  </si>
  <si>
    <t>Dashboard se korektně zobrazí v Desktop Head Unit (DHU) simulátoru Android Auto a reaguje na data.</t>
  </si>
  <si>
    <t>T16
15. 2. – 21. 2.</t>
  </si>
  <si>
    <t>4. Integrace a testování / Montáž a zkušební jízdy</t>
  </si>
  <si>
    <t>Nainstalovat zapouzdřený hardware pod sedlo motocyklu, zapojit do OBD-II portu, provést Smart Tank kalibraci a absolvovat testovací jízdy v provozu s kontrolou stability spojení a přesnosti dat.</t>
  </si>
  <si>
    <t>Záznam 3 ucelených zkušebních jízd, ověření nulového vlivu vibrací na IMU, bezchybný 0 mA auto-shutdown po jízdě (Milník M4).</t>
  </si>
  <si>
    <t>T17
22. 2. – 28. 2.</t>
  </si>
  <si>
    <t>4. Dokumentace / 1. verze technické zprávy a prototypu</t>
  </si>
  <si>
    <t>Dokončit a odevzdat funkční 1. verzi prototypu systému MotoLogger a sepsat kompletní 1. verzi technické dokumentace dle standardů SPŠE Ječná (blokové schéma, schéma zapojení, popis protokolů, výsledky měření).</t>
  </si>
  <si>
    <t>CELKEM</t>
  </si>
  <si>
    <t>Celková časová dotace (T1 – T17)</t>
  </si>
  <si>
    <t>Odhad zahrnuje 2x bezpečnostní koeficient pro nepředvídatelné technické výzvy u HW/SW.</t>
  </si>
  <si>
    <t>Celkem hodin (průměr ~9 h / týden):</t>
  </si>
  <si>
    <t>Navazující fáze:</t>
  </si>
  <si>
    <t>BŘEZEN 2027 (Testování &amp; Plakát)</t>
  </si>
  <si>
    <t>Dlouhodobé zátěžové jízdy, optimalizace spotřeby a odladění detailů mobilní aplikace. Grafický návrh a tisk prezentačního plakátu formátu A1.</t>
  </si>
  <si>
    <t>Vytištěný plakát A1, finální release v1.0 aplikace a firmwaru.</t>
  </si>
  <si>
    <t>DUBEN 2027 (Obhajoba projektu)</t>
  </si>
  <si>
    <t>Příprava prezentačních slidů, kompletace fyzického funkčního dema systému MotoLogger pro komisi a nácvik závěrečné obhajoby.</t>
  </si>
  <si>
    <t>Úspěšná obhajoba maturitního / technického projektu před maturitní komisí (Milník M6).</t>
  </si>
  <si>
    <t>Textová zpráva dle šablony SPŠE Ječná v PDF odevzdaná k recenzi v termínu do konce února.</t>
  </si>
  <si>
    <t>4.3 Závěrečná fáze – Plakát</t>
  </si>
  <si>
    <t>Matyas Potocký</t>
  </si>
  <si>
    <t>Plně funkční hardwarový a softwarový celek, odevzdaná dokumentace v PDF (min. 25 stran) k recenzi (Milník M5).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</si>
</sst>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name val="Calibri"/>
      <family val="2"/>
      <charset val="238"/>
    </font>
    <font>
      <b/>
      <sz val="11"/>
      <name val="Calibri"/>
      <family val="2"/>
      <charset val="238"/>
    </font>
    <font>
      <sz val="11"/>
      <name val="Calibri"/>
    </font>
    <font>
      <b/>
      <sz val="11"/>
      <name val="Calibri"/>
    </font>
    <font>
      <b/>
      <sz val="11"/>
      <color rgb="FF002060"/>
      <name val="Calibri"/>
    </font>
    <font>
      <i/>
      <sz val="1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EFDA"/>
        <bgColor rgb="FFE2EFDA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indexed="64"/>
      </patternFill>
    </fill>
    <fill>
      <patternFill patternType="solid">
        <fgColor theme="9"/>
        <bgColor rgb="FFE2EFDA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206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center" vertical="top" wrapText="1"/>
    </xf>
    <xf numFmtId="0" fontId="4" fillId="3" borderId="3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 vertical="top" wrapText="1"/>
    </xf>
    <xf numFmtId="0" fontId="3" fillId="3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vertical="top" wrapText="1"/>
    </xf>
    <xf numFmtId="0" fontId="5" fillId="0" borderId="0" xfId="0" applyFont="1" applyAlignment="1">
      <alignment horizontal="left" vertical="center"/>
    </xf>
    <xf numFmtId="0" fontId="4" fillId="0" borderId="3" xfId="0" applyFont="1" applyBorder="1" applyAlignment="1">
      <alignment horizontal="center" vertical="top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 vertical="top" wrapText="1"/>
    </xf>
    <xf numFmtId="0" fontId="6" fillId="4" borderId="5" xfId="0" applyFont="1" applyFill="1" applyBorder="1" applyAlignment="1">
      <alignment horizontal="left" vertical="top" wrapText="1"/>
    </xf>
    <xf numFmtId="0" fontId="4" fillId="4" borderId="5" xfId="0" applyFont="1" applyFill="1" applyBorder="1" applyAlignment="1">
      <alignment horizontal="right" vertical="top"/>
    </xf>
    <xf numFmtId="0" fontId="5" fillId="4" borderId="5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center" vertical="top" wrapText="1"/>
    </xf>
    <xf numFmtId="0" fontId="4" fillId="5" borderId="3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5" borderId="3" xfId="0" applyFill="1" applyBorder="1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left" vertical="center"/>
    </xf>
    <xf numFmtId="0" fontId="3" fillId="6" borderId="3" xfId="0" applyFont="1" applyFill="1" applyBorder="1" applyAlignment="1">
      <alignment horizontal="left" vertical="top" wrapText="1"/>
    </xf>
    <xf numFmtId="0" fontId="3" fillId="7" borderId="3" xfId="0" applyFont="1" applyFill="1" applyBorder="1" applyAlignment="1">
      <alignment horizontal="left" vertical="top" wrapText="1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9"/>
  <sheetViews>
    <sheetView showGridLines="0" tabSelected="1" workbookViewId="0">
      <pane ySplit="4" topLeftCell="A5" activePane="bottomLeft" state="frozen"/>
      <selection pane="bottomLeft" activeCell="E16" sqref="E16"/>
    </sheetView>
  </sheetViews>
  <sheetFormatPr defaultRowHeight="15" x14ac:dyDescent="0.25"/>
  <cols>
    <col min="1" max="1" width="4.140625" customWidth="1"/>
    <col min="2" max="3" width="24" customWidth="1"/>
    <col min="4" max="5" width="38" customWidth="1"/>
    <col min="6" max="6" width="16" customWidth="1"/>
    <col min="7" max="7" width="26" customWidth="1"/>
    <col min="8" max="8" width="14" customWidth="1"/>
  </cols>
  <sheetData>
    <row r="1" spans="2:8" ht="21" customHeight="1" x14ac:dyDescent="0.35">
      <c r="B1" s="22" t="s">
        <v>0</v>
      </c>
      <c r="C1" s="23"/>
      <c r="D1" s="23"/>
      <c r="E1" s="23"/>
      <c r="F1" s="23"/>
      <c r="G1" s="23"/>
      <c r="H1" s="23"/>
    </row>
    <row r="2" spans="2:8" x14ac:dyDescent="0.25">
      <c r="B2" s="23" t="s">
        <v>1</v>
      </c>
      <c r="C2" s="23"/>
      <c r="D2" s="23"/>
      <c r="E2" s="23"/>
      <c r="F2" s="23"/>
      <c r="G2" s="23"/>
      <c r="H2" s="23"/>
    </row>
    <row r="4" spans="2:8" x14ac:dyDescent="0.25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2:8" ht="45" x14ac:dyDescent="0.25">
      <c r="B5" s="4" t="s">
        <v>9</v>
      </c>
      <c r="C5" s="4" t="s">
        <v>10</v>
      </c>
      <c r="D5" s="4" t="s">
        <v>11</v>
      </c>
      <c r="E5" s="4" t="s">
        <v>12</v>
      </c>
      <c r="F5" s="5" t="s">
        <v>13</v>
      </c>
      <c r="G5" s="5" t="s">
        <v>14</v>
      </c>
      <c r="H5" s="5" t="s">
        <v>15</v>
      </c>
    </row>
    <row r="6" spans="2:8" ht="60" x14ac:dyDescent="0.25">
      <c r="B6" s="4" t="s">
        <v>9</v>
      </c>
      <c r="C6" s="4" t="s">
        <v>16</v>
      </c>
      <c r="D6" s="4" t="s">
        <v>17</v>
      </c>
      <c r="E6" s="4" t="s">
        <v>18</v>
      </c>
      <c r="F6" s="5" t="s">
        <v>19</v>
      </c>
      <c r="G6" s="5" t="s">
        <v>14</v>
      </c>
      <c r="H6" s="5" t="s">
        <v>20</v>
      </c>
    </row>
    <row r="7" spans="2:8" ht="60" x14ac:dyDescent="0.25">
      <c r="B7" s="6" t="s">
        <v>9</v>
      </c>
      <c r="C7" s="6" t="s">
        <v>21</v>
      </c>
      <c r="D7" s="7" t="s">
        <v>22</v>
      </c>
      <c r="E7" s="7" t="s">
        <v>23</v>
      </c>
      <c r="F7" s="8" t="s">
        <v>24</v>
      </c>
      <c r="G7" s="8" t="s">
        <v>25</v>
      </c>
      <c r="H7" s="9" t="s">
        <v>20</v>
      </c>
    </row>
    <row r="8" spans="2:8" ht="75" x14ac:dyDescent="0.25">
      <c r="B8" s="4" t="s">
        <v>26</v>
      </c>
      <c r="C8" s="4" t="s">
        <v>27</v>
      </c>
      <c r="D8" s="4" t="s">
        <v>28</v>
      </c>
      <c r="E8" s="4" t="s">
        <v>29</v>
      </c>
      <c r="F8" s="5" t="s">
        <v>30</v>
      </c>
      <c r="G8" s="5" t="s">
        <v>14</v>
      </c>
      <c r="H8" s="5" t="s">
        <v>20</v>
      </c>
    </row>
    <row r="9" spans="2:8" ht="60" x14ac:dyDescent="0.25">
      <c r="B9" s="6" t="s">
        <v>26</v>
      </c>
      <c r="C9" s="6" t="s">
        <v>31</v>
      </c>
      <c r="D9" s="7" t="s">
        <v>32</v>
      </c>
      <c r="E9" s="7" t="s">
        <v>33</v>
      </c>
      <c r="F9" s="8" t="s">
        <v>34</v>
      </c>
      <c r="G9" s="8" t="s">
        <v>35</v>
      </c>
      <c r="H9" s="9" t="s">
        <v>20</v>
      </c>
    </row>
    <row r="10" spans="2:8" ht="60" x14ac:dyDescent="0.25">
      <c r="B10" s="4" t="s">
        <v>26</v>
      </c>
      <c r="C10" s="4" t="s">
        <v>36</v>
      </c>
      <c r="D10" s="4" t="s">
        <v>37</v>
      </c>
      <c r="E10" s="4" t="s">
        <v>38</v>
      </c>
      <c r="F10" s="5" t="s">
        <v>39</v>
      </c>
      <c r="G10" s="5" t="s">
        <v>14</v>
      </c>
      <c r="H10" s="5" t="s">
        <v>20</v>
      </c>
    </row>
    <row r="11" spans="2:8" ht="60" x14ac:dyDescent="0.25">
      <c r="B11" s="4" t="s">
        <v>40</v>
      </c>
      <c r="C11" s="4" t="s">
        <v>41</v>
      </c>
      <c r="D11" s="4" t="s">
        <v>42</v>
      </c>
      <c r="E11" s="4" t="s">
        <v>43</v>
      </c>
      <c r="F11" s="5" t="s">
        <v>44</v>
      </c>
      <c r="G11" s="5" t="s">
        <v>14</v>
      </c>
      <c r="H11" s="5" t="s">
        <v>20</v>
      </c>
    </row>
    <row r="12" spans="2:8" ht="75" x14ac:dyDescent="0.25">
      <c r="B12" s="6" t="s">
        <v>40</v>
      </c>
      <c r="C12" s="6" t="s">
        <v>45</v>
      </c>
      <c r="D12" s="7" t="s">
        <v>46</v>
      </c>
      <c r="E12" s="7" t="s">
        <v>47</v>
      </c>
      <c r="F12" s="8" t="s">
        <v>48</v>
      </c>
      <c r="G12" s="8" t="s">
        <v>49</v>
      </c>
      <c r="H12" s="9" t="s">
        <v>20</v>
      </c>
    </row>
    <row r="13" spans="2:8" ht="75" x14ac:dyDescent="0.25">
      <c r="B13" s="4" t="s">
        <v>40</v>
      </c>
      <c r="C13" s="4" t="s">
        <v>50</v>
      </c>
      <c r="D13" s="4" t="s">
        <v>51</v>
      </c>
      <c r="E13" s="4" t="s">
        <v>52</v>
      </c>
      <c r="F13" s="5" t="s">
        <v>53</v>
      </c>
      <c r="G13" s="5" t="s">
        <v>14</v>
      </c>
      <c r="H13" s="5" t="s">
        <v>20</v>
      </c>
    </row>
    <row r="14" spans="2:8" ht="75" x14ac:dyDescent="0.25">
      <c r="B14" s="6" t="s">
        <v>54</v>
      </c>
      <c r="C14" s="6" t="s">
        <v>55</v>
      </c>
      <c r="D14" s="7" t="s">
        <v>56</v>
      </c>
      <c r="E14" s="7" t="s">
        <v>57</v>
      </c>
      <c r="F14" s="8" t="s">
        <v>58</v>
      </c>
      <c r="G14" s="8" t="s">
        <v>59</v>
      </c>
      <c r="H14" s="9" t="s">
        <v>20</v>
      </c>
    </row>
    <row r="15" spans="2:8" ht="75" x14ac:dyDescent="0.25">
      <c r="B15" s="6" t="s">
        <v>54</v>
      </c>
      <c r="C15" s="6" t="s">
        <v>60</v>
      </c>
      <c r="D15" s="7" t="s">
        <v>61</v>
      </c>
      <c r="E15" s="7" t="s">
        <v>154</v>
      </c>
      <c r="F15" s="8" t="s">
        <v>62</v>
      </c>
      <c r="G15" s="8" t="s">
        <v>63</v>
      </c>
      <c r="H15" s="9" t="s">
        <v>20</v>
      </c>
    </row>
    <row r="16" spans="2:8" ht="75" x14ac:dyDescent="0.25">
      <c r="B16" s="6" t="s">
        <v>54</v>
      </c>
      <c r="C16" s="6" t="s">
        <v>155</v>
      </c>
      <c r="D16" s="7" t="s">
        <v>64</v>
      </c>
      <c r="E16" s="7" t="s">
        <v>65</v>
      </c>
      <c r="F16" s="8" t="s">
        <v>66</v>
      </c>
      <c r="G16" s="8" t="s">
        <v>67</v>
      </c>
      <c r="H16" s="9" t="s">
        <v>20</v>
      </c>
    </row>
    <row r="17" spans="2:8" ht="18" customHeight="1" x14ac:dyDescent="0.25">
      <c r="B17" s="10"/>
      <c r="C17" s="10"/>
      <c r="D17" s="10"/>
      <c r="E17" s="10"/>
      <c r="F17" s="10"/>
      <c r="G17" s="10"/>
      <c r="H17" s="10"/>
    </row>
    <row r="18" spans="2:8" ht="18" customHeight="1" x14ac:dyDescent="0.25">
      <c r="B18" s="10"/>
      <c r="C18" s="10"/>
      <c r="D18" s="10"/>
      <c r="E18" s="10"/>
      <c r="F18" s="10"/>
      <c r="G18" s="10"/>
      <c r="H18" s="10"/>
    </row>
    <row r="19" spans="2:8" ht="18" customHeight="1" x14ac:dyDescent="0.25">
      <c r="B19" s="10"/>
      <c r="C19" s="10"/>
      <c r="D19" s="10"/>
      <c r="E19" s="10"/>
      <c r="F19" s="10"/>
      <c r="G19" s="10"/>
      <c r="H19" s="10"/>
    </row>
  </sheetData>
  <mergeCells count="2">
    <mergeCell ref="B1:H1"/>
    <mergeCell ref="B2:H2"/>
  </mergeCells>
  <dataValidations count="1">
    <dataValidation type="list" allowBlank="1" sqref="H5:H19" xr:uid="{00000000-0002-0000-0000-000000000000}">
      <formula1>"Nezačato,Probíhá,Hotovo,Odloženo"</formula1>
    </dataValidation>
  </dataValidations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7"/>
  <sheetViews>
    <sheetView showGridLines="0" workbookViewId="0">
      <selection activeCell="G24" sqref="G24"/>
    </sheetView>
  </sheetViews>
  <sheetFormatPr defaultRowHeight="15" x14ac:dyDescent="0.25"/>
  <cols>
    <col min="1" max="1" width="3.42578125" customWidth="1"/>
    <col min="2" max="2" width="17" customWidth="1"/>
    <col min="3" max="3" width="38" customWidth="1"/>
    <col min="4" max="4" width="54" customWidth="1"/>
    <col min="5" max="5" width="44" customWidth="1"/>
    <col min="6" max="6" width="16" customWidth="1"/>
  </cols>
  <sheetData>
    <row r="1" spans="1:19" ht="21" customHeight="1" x14ac:dyDescent="0.25">
      <c r="A1" s="24" t="s">
        <v>68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</row>
    <row r="3" spans="1:19" x14ac:dyDescent="0.25">
      <c r="A3" s="1"/>
      <c r="C3" s="1" t="s">
        <v>69</v>
      </c>
      <c r="D3" s="11" t="s">
        <v>70</v>
      </c>
      <c r="E3" s="1"/>
    </row>
    <row r="4" spans="1:19" x14ac:dyDescent="0.25">
      <c r="A4" s="1"/>
      <c r="C4" s="1" t="s">
        <v>71</v>
      </c>
      <c r="D4" s="11" t="s">
        <v>156</v>
      </c>
      <c r="E4" s="1"/>
    </row>
    <row r="6" spans="1:19" ht="14.25" customHeight="1" x14ac:dyDescent="0.25">
      <c r="B6" s="3"/>
      <c r="C6" s="3" t="s">
        <v>72</v>
      </c>
      <c r="D6" s="3" t="s">
        <v>73</v>
      </c>
      <c r="E6" s="3" t="s">
        <v>74</v>
      </c>
      <c r="F6" s="3" t="s">
        <v>75</v>
      </c>
    </row>
    <row r="7" spans="1:19" ht="60" x14ac:dyDescent="0.25">
      <c r="B7" s="3" t="s">
        <v>76</v>
      </c>
      <c r="C7" s="4" t="s">
        <v>77</v>
      </c>
      <c r="D7" s="4" t="s">
        <v>78</v>
      </c>
      <c r="E7" s="4" t="s">
        <v>79</v>
      </c>
      <c r="F7" s="12">
        <v>8</v>
      </c>
    </row>
    <row r="8" spans="1:19" ht="60" x14ac:dyDescent="0.25">
      <c r="B8" s="3" t="s">
        <v>80</v>
      </c>
      <c r="C8" s="4" t="s">
        <v>81</v>
      </c>
      <c r="D8" s="4" t="s">
        <v>82</v>
      </c>
      <c r="E8" s="25" t="s">
        <v>83</v>
      </c>
      <c r="F8" s="12">
        <v>7</v>
      </c>
    </row>
    <row r="9" spans="1:19" ht="45" x14ac:dyDescent="0.25">
      <c r="B9" s="3" t="s">
        <v>84</v>
      </c>
      <c r="C9" s="6" t="s">
        <v>85</v>
      </c>
      <c r="D9" s="7" t="s">
        <v>86</v>
      </c>
      <c r="E9" s="7" t="s">
        <v>87</v>
      </c>
      <c r="F9" s="8">
        <v>9</v>
      </c>
    </row>
    <row r="10" spans="1:19" ht="60" x14ac:dyDescent="0.25">
      <c r="B10" s="3" t="s">
        <v>88</v>
      </c>
      <c r="C10" s="4" t="s">
        <v>89</v>
      </c>
      <c r="D10" s="4" t="s">
        <v>90</v>
      </c>
      <c r="E10" s="25" t="s">
        <v>91</v>
      </c>
      <c r="F10" s="12">
        <v>10</v>
      </c>
    </row>
    <row r="11" spans="1:19" ht="44.1" customHeight="1" x14ac:dyDescent="0.25">
      <c r="B11" s="3" t="s">
        <v>92</v>
      </c>
      <c r="C11" s="4" t="s">
        <v>93</v>
      </c>
      <c r="D11" s="4" t="s">
        <v>94</v>
      </c>
      <c r="E11" s="4" t="s">
        <v>95</v>
      </c>
      <c r="F11" s="12">
        <v>11</v>
      </c>
    </row>
    <row r="12" spans="1:19" ht="60" x14ac:dyDescent="0.25">
      <c r="B12" s="3" t="s">
        <v>96</v>
      </c>
      <c r="C12" s="4" t="s">
        <v>97</v>
      </c>
      <c r="D12" s="4" t="s">
        <v>98</v>
      </c>
      <c r="E12" s="25" t="s">
        <v>99</v>
      </c>
      <c r="F12" s="12">
        <v>10</v>
      </c>
    </row>
    <row r="13" spans="1:19" ht="60" x14ac:dyDescent="0.25">
      <c r="B13" s="3" t="s">
        <v>100</v>
      </c>
      <c r="C13" s="6" t="s">
        <v>101</v>
      </c>
      <c r="D13" s="7" t="s">
        <v>102</v>
      </c>
      <c r="E13" s="7" t="s">
        <v>103</v>
      </c>
      <c r="F13" s="8">
        <v>9</v>
      </c>
    </row>
    <row r="14" spans="1:19" ht="60" x14ac:dyDescent="0.25">
      <c r="B14" s="3" t="s">
        <v>104</v>
      </c>
      <c r="C14" s="4" t="s">
        <v>105</v>
      </c>
      <c r="D14" s="4" t="s">
        <v>106</v>
      </c>
      <c r="E14" s="25" t="s">
        <v>107</v>
      </c>
      <c r="F14" s="12">
        <v>4</v>
      </c>
    </row>
    <row r="15" spans="1:19" ht="60" x14ac:dyDescent="0.25">
      <c r="B15" s="3" t="s">
        <v>108</v>
      </c>
      <c r="C15" s="4" t="s">
        <v>109</v>
      </c>
      <c r="D15" s="4" t="s">
        <v>110</v>
      </c>
      <c r="E15" s="4" t="s">
        <v>111</v>
      </c>
      <c r="F15" s="12">
        <v>6</v>
      </c>
    </row>
    <row r="16" spans="1:19" ht="60" x14ac:dyDescent="0.25">
      <c r="B16" s="3" t="s">
        <v>112</v>
      </c>
      <c r="C16" s="4" t="s">
        <v>113</v>
      </c>
      <c r="D16" s="4" t="s">
        <v>114</v>
      </c>
      <c r="E16" s="25" t="s">
        <v>115</v>
      </c>
      <c r="F16" s="12">
        <v>10</v>
      </c>
    </row>
    <row r="17" spans="2:6" ht="60" x14ac:dyDescent="0.25">
      <c r="B17" s="3" t="s">
        <v>116</v>
      </c>
      <c r="C17" s="4" t="s">
        <v>117</v>
      </c>
      <c r="D17" s="4" t="s">
        <v>118</v>
      </c>
      <c r="E17" s="4" t="s">
        <v>119</v>
      </c>
      <c r="F17" s="12">
        <v>10</v>
      </c>
    </row>
    <row r="18" spans="2:6" ht="60" x14ac:dyDescent="0.25">
      <c r="B18" s="3" t="s">
        <v>120</v>
      </c>
      <c r="C18" s="4" t="s">
        <v>121</v>
      </c>
      <c r="D18" s="4" t="s">
        <v>122</v>
      </c>
      <c r="E18" s="25" t="s">
        <v>123</v>
      </c>
      <c r="F18" s="12">
        <v>9</v>
      </c>
    </row>
    <row r="19" spans="2:6" ht="60" x14ac:dyDescent="0.25">
      <c r="B19" s="3" t="s">
        <v>124</v>
      </c>
      <c r="C19" s="6" t="s">
        <v>125</v>
      </c>
      <c r="D19" s="7" t="s">
        <v>126</v>
      </c>
      <c r="E19" s="7" t="s">
        <v>127</v>
      </c>
      <c r="F19" s="8">
        <v>7</v>
      </c>
    </row>
    <row r="20" spans="2:6" ht="60" x14ac:dyDescent="0.25">
      <c r="B20" s="3" t="s">
        <v>128</v>
      </c>
      <c r="C20" s="4" t="s">
        <v>129</v>
      </c>
      <c r="D20" s="4" t="s">
        <v>130</v>
      </c>
      <c r="E20" s="25" t="s">
        <v>131</v>
      </c>
      <c r="F20" s="12">
        <v>9</v>
      </c>
    </row>
    <row r="21" spans="2:6" ht="60" x14ac:dyDescent="0.25">
      <c r="B21" s="3" t="s">
        <v>132</v>
      </c>
      <c r="C21" s="4" t="s">
        <v>133</v>
      </c>
      <c r="D21" s="4" t="s">
        <v>134</v>
      </c>
      <c r="E21" s="4" t="s">
        <v>135</v>
      </c>
      <c r="F21" s="12">
        <v>10</v>
      </c>
    </row>
    <row r="22" spans="2:6" ht="60" x14ac:dyDescent="0.25">
      <c r="B22" s="3" t="s">
        <v>136</v>
      </c>
      <c r="C22" s="6" t="s">
        <v>137</v>
      </c>
      <c r="D22" s="7" t="s">
        <v>138</v>
      </c>
      <c r="E22" s="26" t="s">
        <v>139</v>
      </c>
      <c r="F22" s="8">
        <v>11</v>
      </c>
    </row>
    <row r="23" spans="2:6" ht="60" x14ac:dyDescent="0.25">
      <c r="B23" s="3" t="s">
        <v>140</v>
      </c>
      <c r="C23" s="6" t="s">
        <v>141</v>
      </c>
      <c r="D23" s="7" t="s">
        <v>142</v>
      </c>
      <c r="E23" s="26" t="s">
        <v>157</v>
      </c>
      <c r="F23" s="8">
        <v>12</v>
      </c>
    </row>
    <row r="24" spans="2:6" ht="34.5" customHeight="1" x14ac:dyDescent="0.25">
      <c r="B24" s="13" t="s">
        <v>143</v>
      </c>
      <c r="C24" s="14" t="s">
        <v>144</v>
      </c>
      <c r="D24" s="15" t="s">
        <v>145</v>
      </c>
      <c r="E24" s="16" t="s">
        <v>146</v>
      </c>
      <c r="F24" s="17">
        <f>SUM(F7:F23)</f>
        <v>152</v>
      </c>
    </row>
    <row r="25" spans="2:6" ht="21" customHeight="1" x14ac:dyDescent="0.25"/>
    <row r="26" spans="2:6" ht="45" x14ac:dyDescent="0.25">
      <c r="B26" s="18" t="s">
        <v>147</v>
      </c>
      <c r="C26" s="19" t="s">
        <v>148</v>
      </c>
      <c r="D26" s="20" t="s">
        <v>149</v>
      </c>
      <c r="E26" s="20" t="s">
        <v>150</v>
      </c>
      <c r="F26" s="18">
        <v>24</v>
      </c>
    </row>
    <row r="27" spans="2:6" ht="45" x14ac:dyDescent="0.25">
      <c r="B27" s="21"/>
      <c r="C27" s="19" t="s">
        <v>151</v>
      </c>
      <c r="D27" s="20" t="s">
        <v>152</v>
      </c>
      <c r="E27" s="20" t="s">
        <v>153</v>
      </c>
      <c r="F27" s="18">
        <v>14</v>
      </c>
    </row>
  </sheetData>
  <mergeCells count="1">
    <mergeCell ref="A1:S1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Cíle a milníky</vt:lpstr>
      <vt:lpstr>Harmonogram projektu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Matyas Potocký (student C4a)</cp:lastModifiedBy>
  <dcterms:created xsi:type="dcterms:W3CDTF">2026-10-01T20:22:43Z</dcterms:created>
  <dcterms:modified xsi:type="dcterms:W3CDTF">2026-10-02T07:09:41Z</dcterms:modified>
</cp:coreProperties>
</file>